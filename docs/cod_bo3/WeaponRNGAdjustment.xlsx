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ata\Projects\Archipelago\worlds\cod_bo3\docs\"/>
    </mc:Choice>
  </mc:AlternateContent>
  <xr:revisionPtr revIDLastSave="0" documentId="8_{0BD4131D-3D5A-4023-B3E7-E942518AC240}" xr6:coauthVersionLast="47" xr6:coauthVersionMax="47" xr10:uidLastSave="{00000000-0000-0000-0000-000000000000}"/>
  <bookViews>
    <workbookView xWindow="-120" yWindow="-120" windowWidth="29040" windowHeight="15720" xr2:uid="{E63FD769-CBEA-44C6-ABF9-5A784BA31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1" l="1"/>
  <c r="R2" i="1"/>
  <c r="E2" i="1"/>
  <c r="F2" i="1"/>
  <c r="G2" i="1"/>
  <c r="M10" i="1" l="1"/>
  <c r="O10" i="1" s="1"/>
  <c r="L2" i="1"/>
  <c r="C3" i="1"/>
  <c r="M3" i="1"/>
  <c r="O3" i="1" s="1"/>
  <c r="M4" i="1"/>
  <c r="O4" i="1" s="1"/>
  <c r="M6" i="1"/>
  <c r="O6" i="1" s="1"/>
  <c r="M9" i="1"/>
  <c r="O9" i="1" s="1"/>
  <c r="M11" i="1"/>
  <c r="O11" i="1" s="1"/>
  <c r="M12" i="1"/>
  <c r="O12" i="1" s="1"/>
  <c r="M2" i="1"/>
  <c r="O2" i="1" s="1"/>
  <c r="M5" i="1"/>
  <c r="O5" i="1" s="1"/>
  <c r="M7" i="1"/>
  <c r="O7" i="1" s="1"/>
  <c r="M8" i="1"/>
  <c r="O8" i="1" s="1"/>
  <c r="R9" i="1"/>
  <c r="R10" i="1"/>
  <c r="R11" i="1"/>
  <c r="R12" i="1"/>
  <c r="R3" i="1"/>
  <c r="R4" i="1"/>
  <c r="R5" i="1"/>
  <c r="R6" i="1"/>
  <c r="R7" i="1"/>
  <c r="R8" i="1"/>
  <c r="L4" i="1"/>
  <c r="L5" i="1"/>
  <c r="L6" i="1"/>
  <c r="L7" i="1"/>
  <c r="L8" i="1"/>
  <c r="L9" i="1"/>
  <c r="L10" i="1"/>
  <c r="L11" i="1"/>
  <c r="L12" i="1"/>
  <c r="L3" i="1"/>
  <c r="N4" i="1" l="1"/>
  <c r="P4" i="1" s="1"/>
  <c r="Q4" i="1" s="1"/>
  <c r="N3" i="1"/>
  <c r="P3" i="1" s="1"/>
  <c r="Q3" i="1" s="1"/>
  <c r="N5" i="1"/>
  <c r="P5" i="1" s="1"/>
  <c r="Q5" i="1" s="1"/>
  <c r="N6" i="1"/>
  <c r="P6" i="1" s="1"/>
  <c r="Q6" i="1" s="1"/>
  <c r="N7" i="1"/>
  <c r="P7" i="1" s="1"/>
  <c r="Q7" i="1" s="1"/>
  <c r="N8" i="1"/>
  <c r="P8" i="1" s="1"/>
  <c r="Q8" i="1" s="1"/>
  <c r="N9" i="1"/>
  <c r="P9" i="1" s="1"/>
  <c r="Q9" i="1" s="1"/>
  <c r="N10" i="1"/>
  <c r="P10" i="1" s="1"/>
  <c r="Q10" i="1" s="1"/>
  <c r="N11" i="1"/>
  <c r="P11" i="1" s="1"/>
  <c r="Q11" i="1" s="1"/>
  <c r="N12" i="1"/>
  <c r="P12" i="1" s="1"/>
  <c r="Q12" i="1" s="1"/>
  <c r="N2" i="1"/>
  <c r="P2" i="1" s="1"/>
  <c r="Q2" i="1" s="1"/>
</calcChain>
</file>

<file path=xl/sharedStrings.xml><?xml version="1.0" encoding="utf-8"?>
<sst xmlns="http://schemas.openxmlformats.org/spreadsheetml/2006/main" count="14" uniqueCount="14">
  <si>
    <t>Num in Box</t>
  </si>
  <si>
    <t>Min Spins</t>
  </si>
  <si>
    <t>Roll1</t>
  </si>
  <si>
    <t>Roll2</t>
  </si>
  <si>
    <t>Failure Rate</t>
  </si>
  <si>
    <t>Rolls</t>
  </si>
  <si>
    <t>Rate1</t>
  </si>
  <si>
    <t>Rate2</t>
  </si>
  <si>
    <t>Rate3</t>
  </si>
  <si>
    <t>Rate2Rolls</t>
  </si>
  <si>
    <t>Rate3Rolls</t>
  </si>
  <si>
    <t>Vanilla</t>
  </si>
  <si>
    <t>Diff</t>
  </si>
  <si>
    <t>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</si>
</sst>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Weapon within Num of Spins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Sheet1!$Q$1</c:f>
              <c:strCache>
                <c:ptCount val="1"/>
                <c:pt idx="0">
                  <c:v>Adjusted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Sheet1!$K$2:$K$12</c:f>
              <c:numCache>
                <c:formatCode>General</c:formatCode>
                <c:ptCount val="1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Sheet1!$Q$2:$Q$12</c:f>
              <c:numCache>
                <c:formatCode>General</c:formatCode>
                <c:ptCount val="11"/>
                <c:pt idx="0">
                  <c:v>5.0000000000000044E-2</c:v>
                </c:pt>
                <c:pt idx="1">
                  <c:v>0.22621906250000001</c:v>
                </c:pt>
                <c:pt idx="2">
                  <c:v>0.4012630607616211</c:v>
                </c:pt>
                <c:pt idx="3">
                  <c:v>0.55877025699071114</c:v>
                </c:pt>
                <c:pt idx="4">
                  <c:v>0.73249228522126231</c:v>
                </c:pt>
                <c:pt idx="5">
                  <c:v>0.85894201224253042</c:v>
                </c:pt>
                <c:pt idx="6">
                  <c:v>0.93222769060183519</c:v>
                </c:pt>
                <c:pt idx="7">
                  <c:v>0.96743831388650059</c:v>
                </c:pt>
                <c:pt idx="8">
                  <c:v>0.9843555072570277</c:v>
                </c:pt>
                <c:pt idx="9">
                  <c:v>0.99248349264433688</c:v>
                </c:pt>
                <c:pt idx="10">
                  <c:v>0.99638864079801392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D5-4BDD-8125-D8B3F1236A58}"/>
            </c:ext>
          </c:extLst>
        </c:ser>
        <c:ser>
          <c:idx val="1"/>
          <c:order val="1"/>
          <c:tx>
            <c:strRef>
              <c:f>Sheet1!$R$1</c:f>
              <c:strCache>
                <c:ptCount val="1"/>
                <c:pt idx="0">
                  <c:v>Vanilla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Sheet1!$K$2:$K$12</c:f>
              <c:numCache>
                <c:formatCode>General</c:formatCode>
                <c:ptCount val="1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Sheet1!$R$2:$R$12</c:f>
              <c:numCache>
                <c:formatCode>General</c:formatCode>
                <c:ptCount val="11"/>
                <c:pt idx="0">
                  <c:v>5.0000000000000044E-2</c:v>
                </c:pt>
                <c:pt idx="1">
                  <c:v>0.22621906250000001</c:v>
                </c:pt>
                <c:pt idx="2">
                  <c:v>0.4012630607616211</c:v>
                </c:pt>
                <c:pt idx="3">
                  <c:v>0.53670876984024662</c:v>
                </c:pt>
                <c:pt idx="4">
                  <c:v>0.64151407759145784</c:v>
                </c:pt>
                <c:pt idx="5">
                  <c:v>0.72261042687816601</c:v>
                </c:pt>
                <c:pt idx="6">
                  <c:v>0.78536123605706254</c:v>
                </c:pt>
                <c:pt idx="7">
                  <c:v>0.83391661601239264</c:v>
                </c:pt>
                <c:pt idx="8">
                  <c:v>0.87148784343489671</c:v>
                </c:pt>
                <c:pt idx="9">
                  <c:v>0.90055974301290753</c:v>
                </c:pt>
                <c:pt idx="10">
                  <c:v>0.92305502472328671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D5-4BDD-8125-D8B3F1236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666048"/>
        <c:axId val="130666528"/>
      </c:lineChart>
      <c:catAx>
        <c:axId val="13066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66528"/>
        <c:crosses val="autoZero"/>
        <c:auto val="1"/>
        <c:lblAlgn val="ctr"/>
        <c:lblOffset val="100"/>
        <c:tickMarkSkip val="5"/>
        <c:noMultiLvlLbl val="0"/>
      </c:catAx>
      <c:valAx>
        <c:axId val="1306665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6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628649</xdr:colOff>
      <xdr:row>12</xdr:row>
      <xdr:rowOff>185737</xdr:rowOff>
    </xdr:from>
    <xdr:to>
      <xdr:col>9</xdr:col>
      <xdr:colOff>266699</xdr:colOff>
      <xdr:row>27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62FF5E-2A9D-85CE-5CFE-6BB9FFFD67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BF05E-F344-4F4D-9AC3-DC68FFE5EBB4}">
  <dimension ref="A1:S12"/>
  <sheetViews>
    <sheetView tabSelected="1" workbookViewId="0">
      <selection activeCell="F8" sqref="F8"/>
    </sheetView>
  </sheetViews>
  <sheetFormatPr defaultRowHeight="15" x14ac:dyDescent="0.25"/>
  <cols>
    <col min="1" max="1" width="15.42578125" customWidth="1"/>
    <col min="2" max="2" width="11.42578125" customWidth="1"/>
    <col min="3" max="3" width="9.28515625" customWidth="1"/>
    <col min="5" max="5" width="11.42578125" bestFit="1" customWidth="1"/>
    <col min="11" max="11" width="11" bestFit="1" customWidth="1"/>
    <col min="13" max="13" width="12" bestFit="1" customWidth="1"/>
    <col min="14" max="14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K1" t="s">
        <v>5</v>
      </c>
      <c r="L1" t="s">
        <v>6</v>
      </c>
      <c r="M1" t="s">
        <v>9</v>
      </c>
      <c r="N1" t="s">
        <v>10</v>
      </c>
      <c r="O1" t="s">
        <v>7</v>
      </c>
      <c r="P1" t="s">
        <v>8</v>
      </c>
      <c r="Q1" t="s">
        <v>13</v>
      </c>
      <c r="R1" t="s">
        <v>11</v>
      </c>
      <c r="S1" t="s">
        <v>12</v>
      </c>
    </row>
    <row r="2" spans="1:19" x14ac:dyDescent="0.25">
      <c r="A2">
        <v>20</v>
      </c>
      <c r="B2">
        <f>6 + C2</f>
        <v>14</v>
      </c>
      <c r="C2">
        <v>8</v>
      </c>
      <c r="D2">
        <v>8</v>
      </c>
      <c r="E2">
        <f>19/A2</f>
        <v>0.95</v>
      </c>
      <c r="F2">
        <f>19/(A2+1)</f>
        <v>0.90476190476190477</v>
      </c>
      <c r="G2">
        <f>19/(A2+2)</f>
        <v>0.86363636363636365</v>
      </c>
      <c r="K2">
        <v>1</v>
      </c>
      <c r="L2">
        <f>POWER($E$2, MIN($B$2,K2))</f>
        <v>0.95</v>
      </c>
      <c r="M2">
        <f>IF(K2&gt;$B$2, MIN($C$2,K2-$B$2), 0)</f>
        <v>0</v>
      </c>
      <c r="N2">
        <f>IF((K2-$C$3)&gt;0, K2-$C$3, 0)</f>
        <v>0</v>
      </c>
      <c r="O2">
        <f>IF(M2&gt;0, POWER($F$2,M2),1)</f>
        <v>1</v>
      </c>
      <c r="P2">
        <f>IF(N2&gt;0, POWER($G$2,N2),1)</f>
        <v>1</v>
      </c>
      <c r="Q2">
        <f>1 - (L2*O2*P2)</f>
        <v>5.0000000000000044E-2</v>
      </c>
      <c r="R2">
        <f>1 - (POWER($E$2,K2))</f>
        <v>5.0000000000000044E-2</v>
      </c>
    </row>
    <row r="3" spans="1:19" x14ac:dyDescent="0.25">
      <c r="C3">
        <f>B2+D2</f>
        <v>22</v>
      </c>
      <c r="K3">
        <v>5</v>
      </c>
      <c r="L3">
        <f>POWER($E$2, MIN($B$2,K3))</f>
        <v>0.77378093749999999</v>
      </c>
      <c r="M3">
        <f t="shared" ref="M3:M12" si="0">IF(K3&gt;$B$2, MIN($C$2,K3-$B$2), 0)</f>
        <v>0</v>
      </c>
      <c r="N3">
        <f t="shared" ref="N3:N12" si="1">IF((K3-$C$3)&gt;0, K3-$C$3, 0)</f>
        <v>0</v>
      </c>
      <c r="O3">
        <f>IF(M3&gt;0, POWER($F$2,M3),1)</f>
        <v>1</v>
      </c>
      <c r="P3">
        <f>IF(N3&gt;0, POWER($G$2,N3),1)</f>
        <v>1</v>
      </c>
      <c r="Q3">
        <f>1 - (L3*O3*P3)</f>
        <v>0.22621906250000001</v>
      </c>
      <c r="R3">
        <f>1 - (POWER($E$2,K3))</f>
        <v>0.22621906250000001</v>
      </c>
    </row>
    <row r="4" spans="1:19" x14ac:dyDescent="0.25">
      <c r="K4">
        <v>10</v>
      </c>
      <c r="L4">
        <f t="shared" ref="L4:L13" si="2">POWER($E$2, MIN($B$2,K4))</f>
        <v>0.5987369392383789</v>
      </c>
      <c r="M4">
        <f t="shared" si="0"/>
        <v>0</v>
      </c>
      <c r="N4">
        <f t="shared" si="1"/>
        <v>0</v>
      </c>
      <c r="O4">
        <f t="shared" ref="O4:O13" si="3">IF(M4&gt;0, POWER($F$2,M4),1)</f>
        <v>1</v>
      </c>
      <c r="P4">
        <f t="shared" ref="P4:P13" si="4">IF(N4&gt;0, POWER($G$2,N4),1)</f>
        <v>1</v>
      </c>
      <c r="Q4">
        <f t="shared" ref="Q4:Q13" si="5">1 - (L4*O4*P4)</f>
        <v>0.4012630607616211</v>
      </c>
      <c r="R4">
        <f t="shared" ref="R4:R13" si="6">1 - (POWER($E$2,K4))</f>
        <v>0.4012630607616211</v>
      </c>
    </row>
    <row r="5" spans="1:19" x14ac:dyDescent="0.25">
      <c r="K5">
        <v>15</v>
      </c>
      <c r="L5">
        <f t="shared" si="2"/>
        <v>0.48767497911552976</v>
      </c>
      <c r="M5">
        <f t="shared" si="0"/>
        <v>1</v>
      </c>
      <c r="N5">
        <f t="shared" si="1"/>
        <v>0</v>
      </c>
      <c r="O5">
        <f t="shared" si="3"/>
        <v>0.90476190476190477</v>
      </c>
      <c r="P5">
        <f t="shared" si="4"/>
        <v>1</v>
      </c>
      <c r="Q5">
        <f t="shared" si="5"/>
        <v>0.55877025699071114</v>
      </c>
      <c r="R5">
        <f t="shared" si="6"/>
        <v>0.53670876984024662</v>
      </c>
    </row>
    <row r="6" spans="1:19" x14ac:dyDescent="0.25">
      <c r="K6">
        <v>20</v>
      </c>
      <c r="L6">
        <f t="shared" si="2"/>
        <v>0.48767497911552976</v>
      </c>
      <c r="M6">
        <f t="shared" si="0"/>
        <v>6</v>
      </c>
      <c r="N6">
        <f t="shared" si="1"/>
        <v>0</v>
      </c>
      <c r="O6">
        <f>IF(M6&gt;0, POWER($F$2,M6),1)</f>
        <v>0.54853688672710299</v>
      </c>
      <c r="P6">
        <f t="shared" si="4"/>
        <v>1</v>
      </c>
      <c r="Q6">
        <f>1 - (L6*O6*P6)</f>
        <v>0.73249228522126231</v>
      </c>
      <c r="R6">
        <f t="shared" si="6"/>
        <v>0.64151407759145784</v>
      </c>
    </row>
    <row r="7" spans="1:19" x14ac:dyDescent="0.25">
      <c r="K7">
        <v>25</v>
      </c>
      <c r="L7">
        <f t="shared" si="2"/>
        <v>0.48767497911552976</v>
      </c>
      <c r="M7">
        <f t="shared" si="0"/>
        <v>8</v>
      </c>
      <c r="N7">
        <f t="shared" si="1"/>
        <v>3</v>
      </c>
      <c r="O7">
        <f t="shared" si="3"/>
        <v>0.44902906147048566</v>
      </c>
      <c r="P7">
        <f t="shared" si="4"/>
        <v>0.64415852742299029</v>
      </c>
      <c r="Q7">
        <f t="shared" si="5"/>
        <v>0.85894201224253042</v>
      </c>
      <c r="R7">
        <f t="shared" si="6"/>
        <v>0.72261042687816601</v>
      </c>
    </row>
    <row r="8" spans="1:19" x14ac:dyDescent="0.25">
      <c r="K8">
        <v>30</v>
      </c>
      <c r="L8">
        <f t="shared" si="2"/>
        <v>0.48767497911552976</v>
      </c>
      <c r="M8">
        <f t="shared" si="0"/>
        <v>8</v>
      </c>
      <c r="N8">
        <f t="shared" si="1"/>
        <v>8</v>
      </c>
      <c r="O8">
        <f t="shared" si="3"/>
        <v>0.44902906147048566</v>
      </c>
      <c r="P8">
        <f t="shared" si="4"/>
        <v>0.30949052737827204</v>
      </c>
      <c r="Q8">
        <f t="shared" si="5"/>
        <v>0.93222769060183519</v>
      </c>
      <c r="R8">
        <f t="shared" si="6"/>
        <v>0.78536123605706254</v>
      </c>
    </row>
    <row r="9" spans="1:19" x14ac:dyDescent="0.25">
      <c r="K9">
        <v>35</v>
      </c>
      <c r="L9">
        <f t="shared" si="2"/>
        <v>0.48767497911552976</v>
      </c>
      <c r="M9">
        <f t="shared" si="0"/>
        <v>8</v>
      </c>
      <c r="N9">
        <f t="shared" si="1"/>
        <v>13</v>
      </c>
      <c r="O9">
        <f>IF(M9&gt;0, POWER($F$2,M9),1)</f>
        <v>0.44902906147048566</v>
      </c>
      <c r="P9">
        <f t="shared" si="4"/>
        <v>0.14869691614589711</v>
      </c>
      <c r="Q9">
        <f t="shared" si="5"/>
        <v>0.96743831388650059</v>
      </c>
      <c r="R9">
        <f t="shared" si="6"/>
        <v>0.83391661601239264</v>
      </c>
    </row>
    <row r="10" spans="1:19" x14ac:dyDescent="0.25">
      <c r="K10">
        <v>40</v>
      </c>
      <c r="L10">
        <f t="shared" si="2"/>
        <v>0.48767497911552976</v>
      </c>
      <c r="M10">
        <f t="shared" si="0"/>
        <v>8</v>
      </c>
      <c r="N10">
        <f t="shared" si="1"/>
        <v>18</v>
      </c>
      <c r="O10">
        <f t="shared" si="3"/>
        <v>0.44902906147048566</v>
      </c>
      <c r="P10">
        <f t="shared" si="4"/>
        <v>7.1442486652508311E-2</v>
      </c>
      <c r="Q10">
        <f t="shared" si="5"/>
        <v>0.9843555072570277</v>
      </c>
      <c r="R10">
        <f t="shared" si="6"/>
        <v>0.87148784343489671</v>
      </c>
    </row>
    <row r="11" spans="1:19" x14ac:dyDescent="0.25">
      <c r="K11">
        <v>45</v>
      </c>
      <c r="L11">
        <f t="shared" si="2"/>
        <v>0.48767497911552976</v>
      </c>
      <c r="M11">
        <f t="shared" si="0"/>
        <v>8</v>
      </c>
      <c r="N11">
        <f t="shared" si="1"/>
        <v>23</v>
      </c>
      <c r="O11">
        <f t="shared" si="3"/>
        <v>0.44902906147048566</v>
      </c>
      <c r="P11">
        <f t="shared" si="4"/>
        <v>3.4325048772940951E-2</v>
      </c>
      <c r="Q11">
        <f t="shared" si="5"/>
        <v>0.99248349264433688</v>
      </c>
      <c r="R11">
        <f t="shared" si="6"/>
        <v>0.90055974301290753</v>
      </c>
    </row>
    <row r="12" spans="1:19" x14ac:dyDescent="0.25">
      <c r="K12">
        <v>50</v>
      </c>
      <c r="L12">
        <f t="shared" si="2"/>
        <v>0.48767497911552976</v>
      </c>
      <c r="M12">
        <f t="shared" si="0"/>
        <v>8</v>
      </c>
      <c r="N12">
        <f t="shared" si="1"/>
        <v>28</v>
      </c>
      <c r="O12">
        <f t="shared" si="3"/>
        <v>0.44902906147048566</v>
      </c>
      <c r="P12">
        <f t="shared" si="4"/>
        <v>1.6491712823428276E-2</v>
      </c>
      <c r="Q12">
        <f t="shared" si="5"/>
        <v>0.99638864079801392</v>
      </c>
      <c r="R12">
        <f t="shared" si="6"/>
        <v>0.92305502472328671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B</dc:creator>
  <cp:lastModifiedBy>Colin B</cp:lastModifiedBy>
  <dcterms:created xsi:type="dcterms:W3CDTF">2026-04-14T17:43:19Z</dcterms:created>
  <dcterms:modified xsi:type="dcterms:W3CDTF">2026-04-14T18:30:50Z</dcterms:modified>
</cp:coreProperties>
</file>